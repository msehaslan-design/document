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izelge" sheetId="1" state="visible" r:id="rId1"/>
    <sheet xmlns:r="http://schemas.openxmlformats.org/officeDocument/2006/relationships" name="Personel" sheetId="2" state="visible" r:id="rId2"/>
  </sheets>
  <definedNames>
    <definedName name="_xlnm.Print_Titles" localSheetId="0">'Çizelge'!$6:$6</definedName>
    <definedName name="_xlnm.Print_Area" localSheetId="0">'Çizelge'!$A$1:$G$37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\.mm\.yyyy"/>
  </numFmts>
  <fonts count="8">
    <font>
      <name val="Calibri"/>
      <family val="2"/>
      <color theme="1"/>
      <sz val="11"/>
      <scheme val="minor"/>
    </font>
    <font>
      <name val="Inter"/>
      <sz val="10"/>
    </font>
    <font>
      <name val="Inter"/>
      <b val="1"/>
      <color rgb="000F3D3C"/>
      <sz val="16"/>
    </font>
    <font>
      <name val="Inter"/>
      <b val="1"/>
      <color rgb="000F3D3C"/>
      <sz val="10"/>
    </font>
    <font>
      <name val="Inter"/>
      <b val="1"/>
      <sz val="10"/>
    </font>
    <font>
      <name val="Inter"/>
      <b val="1"/>
      <color rgb="0014A3A0"/>
      <sz val="11"/>
    </font>
    <font>
      <name val="Inter"/>
      <i val="1"/>
      <color rgb="004F6B69"/>
      <sz val="9"/>
    </font>
    <font>
      <name val="Inter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CF9F4"/>
        <bgColor rgb="00ECF9F4"/>
      </patternFill>
    </fill>
    <fill>
      <patternFill patternType="solid">
        <fgColor rgb="00FFF6D6"/>
        <bgColor rgb="00FFF6D6"/>
      </patternFill>
    </fill>
    <fill>
      <patternFill patternType="solid">
        <fgColor rgb="000F3D3C"/>
        <bgColor rgb="000F3D3C"/>
      </patternFill>
    </fill>
  </fills>
  <borders count="2">
    <border>
      <left/>
      <right/>
      <top/>
      <bottom/>
      <diagonal/>
    </border>
    <border>
      <left style="thin">
        <color rgb="008FBDB5"/>
      </left>
      <right style="thin">
        <color rgb="008FBDB5"/>
      </right>
      <top style="thin">
        <color rgb="008FBDB5"/>
      </top>
      <bottom style="thin">
        <color rgb="008FBDB5"/>
      </bottom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Inter"/>
        <color rgb="000F3D3C"/>
      </font>
      <fill>
        <patternFill patternType="solid">
          <fgColor rgb="00E3F1EE"/>
          <bgColor rgb="00E3F1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22" customWidth="1" min="5" max="5"/>
    <col width="8" customWidth="1" min="6" max="6"/>
    <col width="30" customWidth="1" min="7" max="7"/>
    <col hidden="1" width="6" customWidth="1" min="8" max="8"/>
  </cols>
  <sheetData>
    <row r="1" ht="26" customHeight="1">
      <c r="A1" s="1" t="inlineStr">
        <is>
          <t>NÖBET ÇİZELGESİ</t>
        </is>
      </c>
    </row>
    <row r="2">
      <c r="A2" s="2" t="inlineStr">
        <is>
          <t>Kurum / birim</t>
        </is>
      </c>
      <c r="B2" s="3" t="n"/>
      <c r="C2" s="3" t="n"/>
      <c r="D2" s="3" t="n"/>
      <c r="E2" s="3" t="n"/>
    </row>
    <row r="3">
      <c r="A3" s="2" t="inlineStr">
        <is>
          <t>Ayın ilk günü</t>
        </is>
      </c>
      <c r="B3" s="4" t="n">
        <v>46327</v>
      </c>
      <c r="C3" s="5">
        <f>IF(B3="","",CHOOSE(MONTH(B3),"Ocak","Şubat","Mart","Nisan","Mayıs","Haziran","Temmuz","Ağustos","Eylül","Ekim","Kasım","Aralık")&amp;" "&amp;YEAR(B3))</f>
        <v/>
      </c>
    </row>
    <row r="4" ht="30" customHeight="1">
      <c r="A4" s="6" t="inlineStr">
        <is>
          <t>Sarı hücreleri doldurun: ayın ilk gününü B3’e yazın, kişileri Personel sayfasına ekleyin. Günler ve hafta sonları kendiliğinden gelir; resmî tatilleri Tatil sütununa x yazarak işaretleyin. İlk satırdaki adlar örnektir.</t>
        </is>
      </c>
    </row>
    <row r="6" ht="20" customHeight="1">
      <c r="A6" s="7" t="inlineStr">
        <is>
          <t>Tarih</t>
        </is>
      </c>
      <c r="B6" s="7" t="inlineStr">
        <is>
          <t>Gün</t>
        </is>
      </c>
      <c r="C6" s="7" t="inlineStr">
        <is>
          <t>Nöbetçi 1</t>
        </is>
      </c>
      <c r="D6" s="7" t="inlineStr">
        <is>
          <t>Nöbetçi 2</t>
        </is>
      </c>
      <c r="E6" s="7" t="inlineStr">
        <is>
          <t>İcap</t>
        </is>
      </c>
      <c r="F6" s="7" t="inlineStr">
        <is>
          <t>Tatil</t>
        </is>
      </c>
      <c r="G6" s="7" t="inlineStr">
        <is>
          <t>Açıklama</t>
        </is>
      </c>
      <c r="H6" s="7" t="inlineStr">
        <is>
          <t>HS</t>
        </is>
      </c>
    </row>
    <row r="7" ht="18" customHeight="1">
      <c r="A7" s="8">
        <f>$B$3</f>
        <v/>
      </c>
      <c r="B7" s="9">
        <f>IF(A7="","",CHOOSE(WEEKDAY(A7,2),"Pazartesi","Salı","Çarşamba","Perşembe","Cuma","Cumartesi","Pazar"))</f>
        <v/>
      </c>
      <c r="C7" s="10" t="inlineStr">
        <is>
          <t>Kişi 1</t>
        </is>
      </c>
      <c r="D7" s="10" t="inlineStr">
        <is>
          <t>Kişi 2</t>
        </is>
      </c>
      <c r="E7" s="10" t="inlineStr">
        <is>
          <t>Kişi 3</t>
        </is>
      </c>
      <c r="F7" s="11" t="n"/>
      <c r="G7" s="10" t="n"/>
      <c r="H7">
        <f>IF(A7="","",IF(OR(WEEKDAY(A7,2)&gt;5,F7&lt;&gt;""),1,0))</f>
        <v/>
      </c>
    </row>
    <row r="8" ht="18" customHeight="1">
      <c r="A8" s="8">
        <f>IF(A7="","",IF(MONTH(A7+1)=MONTH($B$3),A7+1,""))</f>
        <v/>
      </c>
      <c r="B8" s="9">
        <f>IF(A8="","",CHOOSE(WEEKDAY(A8,2),"Pazartesi","Salı","Çarşamba","Perşembe","Cuma","Cumartesi","Pazar"))</f>
        <v/>
      </c>
      <c r="C8" s="10" t="n"/>
      <c r="D8" s="10" t="n"/>
      <c r="E8" s="10" t="n"/>
      <c r="F8" s="11" t="n"/>
      <c r="G8" s="10" t="n"/>
      <c r="H8">
        <f>IF(A8="","",IF(OR(WEEKDAY(A8,2)&gt;5,F8&lt;&gt;""),1,0))</f>
        <v/>
      </c>
    </row>
    <row r="9" ht="18" customHeight="1">
      <c r="A9" s="8">
        <f>IF(A8="","",IF(MONTH(A8+1)=MONTH($B$3),A8+1,""))</f>
        <v/>
      </c>
      <c r="B9" s="9">
        <f>IF(A9="","",CHOOSE(WEEKDAY(A9,2),"Pazartesi","Salı","Çarşamba","Perşembe","Cuma","Cumartesi","Pazar"))</f>
        <v/>
      </c>
      <c r="C9" s="10" t="n"/>
      <c r="D9" s="10" t="n"/>
      <c r="E9" s="10" t="n"/>
      <c r="F9" s="11" t="n"/>
      <c r="G9" s="10" t="n"/>
      <c r="H9">
        <f>IF(A9="","",IF(OR(WEEKDAY(A9,2)&gt;5,F9&lt;&gt;""),1,0))</f>
        <v/>
      </c>
    </row>
    <row r="10" ht="18" customHeight="1">
      <c r="A10" s="8">
        <f>IF(A9="","",IF(MONTH(A9+1)=MONTH($B$3),A9+1,""))</f>
        <v/>
      </c>
      <c r="B10" s="9">
        <f>IF(A10="","",CHOOSE(WEEKDAY(A10,2),"Pazartesi","Salı","Çarşamba","Perşembe","Cuma","Cumartesi","Pazar"))</f>
        <v/>
      </c>
      <c r="C10" s="10" t="n"/>
      <c r="D10" s="10" t="n"/>
      <c r="E10" s="10" t="n"/>
      <c r="F10" s="11" t="n"/>
      <c r="G10" s="10" t="n"/>
      <c r="H10">
        <f>IF(A10="","",IF(OR(WEEKDAY(A10,2)&gt;5,F10&lt;&gt;""),1,0))</f>
        <v/>
      </c>
    </row>
    <row r="11" ht="18" customHeight="1">
      <c r="A11" s="8">
        <f>IF(A10="","",IF(MONTH(A10+1)=MONTH($B$3),A10+1,""))</f>
        <v/>
      </c>
      <c r="B11" s="9">
        <f>IF(A11="","",CHOOSE(WEEKDAY(A11,2),"Pazartesi","Salı","Çarşamba","Perşembe","Cuma","Cumartesi","Pazar"))</f>
        <v/>
      </c>
      <c r="C11" s="10" t="n"/>
      <c r="D11" s="10" t="n"/>
      <c r="E11" s="10" t="n"/>
      <c r="F11" s="11" t="n"/>
      <c r="G11" s="10" t="n"/>
      <c r="H11">
        <f>IF(A11="","",IF(OR(WEEKDAY(A11,2)&gt;5,F11&lt;&gt;""),1,0))</f>
        <v/>
      </c>
    </row>
    <row r="12" ht="18" customHeight="1">
      <c r="A12" s="8">
        <f>IF(A11="","",IF(MONTH(A11+1)=MONTH($B$3),A11+1,""))</f>
        <v/>
      </c>
      <c r="B12" s="9">
        <f>IF(A12="","",CHOOSE(WEEKDAY(A12,2),"Pazartesi","Salı","Çarşamba","Perşembe","Cuma","Cumartesi","Pazar"))</f>
        <v/>
      </c>
      <c r="C12" s="10" t="n"/>
      <c r="D12" s="10" t="n"/>
      <c r="E12" s="10" t="n"/>
      <c r="F12" s="11" t="n"/>
      <c r="G12" s="10" t="n"/>
      <c r="H12">
        <f>IF(A12="","",IF(OR(WEEKDAY(A12,2)&gt;5,F12&lt;&gt;""),1,0))</f>
        <v/>
      </c>
    </row>
    <row r="13" ht="18" customHeight="1">
      <c r="A13" s="8">
        <f>IF(A12="","",IF(MONTH(A12+1)=MONTH($B$3),A12+1,""))</f>
        <v/>
      </c>
      <c r="B13" s="9">
        <f>IF(A13="","",CHOOSE(WEEKDAY(A13,2),"Pazartesi","Salı","Çarşamba","Perşembe","Cuma","Cumartesi","Pazar"))</f>
        <v/>
      </c>
      <c r="C13" s="10" t="n"/>
      <c r="D13" s="10" t="n"/>
      <c r="E13" s="10" t="n"/>
      <c r="F13" s="11" t="n"/>
      <c r="G13" s="10" t="n"/>
      <c r="H13">
        <f>IF(A13="","",IF(OR(WEEKDAY(A13,2)&gt;5,F13&lt;&gt;""),1,0))</f>
        <v/>
      </c>
    </row>
    <row r="14" ht="18" customHeight="1">
      <c r="A14" s="8">
        <f>IF(A13="","",IF(MONTH(A13+1)=MONTH($B$3),A13+1,""))</f>
        <v/>
      </c>
      <c r="B14" s="9">
        <f>IF(A14="","",CHOOSE(WEEKDAY(A14,2),"Pazartesi","Salı","Çarşamba","Perşembe","Cuma","Cumartesi","Pazar"))</f>
        <v/>
      </c>
      <c r="C14" s="10" t="n"/>
      <c r="D14" s="10" t="n"/>
      <c r="E14" s="10" t="n"/>
      <c r="F14" s="11" t="n"/>
      <c r="G14" s="10" t="n"/>
      <c r="H14">
        <f>IF(A14="","",IF(OR(WEEKDAY(A14,2)&gt;5,F14&lt;&gt;""),1,0))</f>
        <v/>
      </c>
    </row>
    <row r="15" ht="18" customHeight="1">
      <c r="A15" s="8">
        <f>IF(A14="","",IF(MONTH(A14+1)=MONTH($B$3),A14+1,""))</f>
        <v/>
      </c>
      <c r="B15" s="9">
        <f>IF(A15="","",CHOOSE(WEEKDAY(A15,2),"Pazartesi","Salı","Çarşamba","Perşembe","Cuma","Cumartesi","Pazar"))</f>
        <v/>
      </c>
      <c r="C15" s="10" t="n"/>
      <c r="D15" s="10" t="n"/>
      <c r="E15" s="10" t="n"/>
      <c r="F15" s="11" t="n"/>
      <c r="G15" s="10" t="n"/>
      <c r="H15">
        <f>IF(A15="","",IF(OR(WEEKDAY(A15,2)&gt;5,F15&lt;&gt;""),1,0))</f>
        <v/>
      </c>
    </row>
    <row r="16" ht="18" customHeight="1">
      <c r="A16" s="8">
        <f>IF(A15="","",IF(MONTH(A15+1)=MONTH($B$3),A15+1,""))</f>
        <v/>
      </c>
      <c r="B16" s="9">
        <f>IF(A16="","",CHOOSE(WEEKDAY(A16,2),"Pazartesi","Salı","Çarşamba","Perşembe","Cuma","Cumartesi","Pazar"))</f>
        <v/>
      </c>
      <c r="C16" s="10" t="n"/>
      <c r="D16" s="10" t="n"/>
      <c r="E16" s="10" t="n"/>
      <c r="F16" s="11" t="n"/>
      <c r="G16" s="10" t="n"/>
      <c r="H16">
        <f>IF(A16="","",IF(OR(WEEKDAY(A16,2)&gt;5,F16&lt;&gt;""),1,0))</f>
        <v/>
      </c>
    </row>
    <row r="17" ht="18" customHeight="1">
      <c r="A17" s="8">
        <f>IF(A16="","",IF(MONTH(A16+1)=MONTH($B$3),A16+1,""))</f>
        <v/>
      </c>
      <c r="B17" s="9">
        <f>IF(A17="","",CHOOSE(WEEKDAY(A17,2),"Pazartesi","Salı","Çarşamba","Perşembe","Cuma","Cumartesi","Pazar"))</f>
        <v/>
      </c>
      <c r="C17" s="10" t="n"/>
      <c r="D17" s="10" t="n"/>
      <c r="E17" s="10" t="n"/>
      <c r="F17" s="11" t="n"/>
      <c r="G17" s="10" t="n"/>
      <c r="H17">
        <f>IF(A17="","",IF(OR(WEEKDAY(A17,2)&gt;5,F17&lt;&gt;""),1,0))</f>
        <v/>
      </c>
    </row>
    <row r="18" ht="18" customHeight="1">
      <c r="A18" s="8">
        <f>IF(A17="","",IF(MONTH(A17+1)=MONTH($B$3),A17+1,""))</f>
        <v/>
      </c>
      <c r="B18" s="9">
        <f>IF(A18="","",CHOOSE(WEEKDAY(A18,2),"Pazartesi","Salı","Çarşamba","Perşembe","Cuma","Cumartesi","Pazar"))</f>
        <v/>
      </c>
      <c r="C18" s="10" t="n"/>
      <c r="D18" s="10" t="n"/>
      <c r="E18" s="10" t="n"/>
      <c r="F18" s="11" t="n"/>
      <c r="G18" s="10" t="n"/>
      <c r="H18">
        <f>IF(A18="","",IF(OR(WEEKDAY(A18,2)&gt;5,F18&lt;&gt;""),1,0))</f>
        <v/>
      </c>
    </row>
    <row r="19" ht="18" customHeight="1">
      <c r="A19" s="8">
        <f>IF(A18="","",IF(MONTH(A18+1)=MONTH($B$3),A18+1,""))</f>
        <v/>
      </c>
      <c r="B19" s="9">
        <f>IF(A19="","",CHOOSE(WEEKDAY(A19,2),"Pazartesi","Salı","Çarşamba","Perşembe","Cuma","Cumartesi","Pazar"))</f>
        <v/>
      </c>
      <c r="C19" s="10" t="n"/>
      <c r="D19" s="10" t="n"/>
      <c r="E19" s="10" t="n"/>
      <c r="F19" s="11" t="n"/>
      <c r="G19" s="10" t="n"/>
      <c r="H19">
        <f>IF(A19="","",IF(OR(WEEKDAY(A19,2)&gt;5,F19&lt;&gt;""),1,0))</f>
        <v/>
      </c>
    </row>
    <row r="20" ht="18" customHeight="1">
      <c r="A20" s="8">
        <f>IF(A19="","",IF(MONTH(A19+1)=MONTH($B$3),A19+1,""))</f>
        <v/>
      </c>
      <c r="B20" s="9">
        <f>IF(A20="","",CHOOSE(WEEKDAY(A20,2),"Pazartesi","Salı","Çarşamba","Perşembe","Cuma","Cumartesi","Pazar"))</f>
        <v/>
      </c>
      <c r="C20" s="10" t="n"/>
      <c r="D20" s="10" t="n"/>
      <c r="E20" s="10" t="n"/>
      <c r="F20" s="11" t="n"/>
      <c r="G20" s="10" t="n"/>
      <c r="H20">
        <f>IF(A20="","",IF(OR(WEEKDAY(A20,2)&gt;5,F20&lt;&gt;""),1,0))</f>
        <v/>
      </c>
    </row>
    <row r="21" ht="18" customHeight="1">
      <c r="A21" s="8">
        <f>IF(A20="","",IF(MONTH(A20+1)=MONTH($B$3),A20+1,""))</f>
        <v/>
      </c>
      <c r="B21" s="9">
        <f>IF(A21="","",CHOOSE(WEEKDAY(A21,2),"Pazartesi","Salı","Çarşamba","Perşembe","Cuma","Cumartesi","Pazar"))</f>
        <v/>
      </c>
      <c r="C21" s="10" t="n"/>
      <c r="D21" s="10" t="n"/>
      <c r="E21" s="10" t="n"/>
      <c r="F21" s="11" t="n"/>
      <c r="G21" s="10" t="n"/>
      <c r="H21">
        <f>IF(A21="","",IF(OR(WEEKDAY(A21,2)&gt;5,F21&lt;&gt;""),1,0))</f>
        <v/>
      </c>
    </row>
    <row r="22" ht="18" customHeight="1">
      <c r="A22" s="8">
        <f>IF(A21="","",IF(MONTH(A21+1)=MONTH($B$3),A21+1,""))</f>
        <v/>
      </c>
      <c r="B22" s="9">
        <f>IF(A22="","",CHOOSE(WEEKDAY(A22,2),"Pazartesi","Salı","Çarşamba","Perşembe","Cuma","Cumartesi","Pazar"))</f>
        <v/>
      </c>
      <c r="C22" s="10" t="n"/>
      <c r="D22" s="10" t="n"/>
      <c r="E22" s="10" t="n"/>
      <c r="F22" s="11" t="n"/>
      <c r="G22" s="10" t="n"/>
      <c r="H22">
        <f>IF(A22="","",IF(OR(WEEKDAY(A22,2)&gt;5,F22&lt;&gt;""),1,0))</f>
        <v/>
      </c>
    </row>
    <row r="23" ht="18" customHeight="1">
      <c r="A23" s="8">
        <f>IF(A22="","",IF(MONTH(A22+1)=MONTH($B$3),A22+1,""))</f>
        <v/>
      </c>
      <c r="B23" s="9">
        <f>IF(A23="","",CHOOSE(WEEKDAY(A23,2),"Pazartesi","Salı","Çarşamba","Perşembe","Cuma","Cumartesi","Pazar"))</f>
        <v/>
      </c>
      <c r="C23" s="10" t="n"/>
      <c r="D23" s="10" t="n"/>
      <c r="E23" s="10" t="n"/>
      <c r="F23" s="11" t="n"/>
      <c r="G23" s="10" t="n"/>
      <c r="H23">
        <f>IF(A23="","",IF(OR(WEEKDAY(A23,2)&gt;5,F23&lt;&gt;""),1,0))</f>
        <v/>
      </c>
    </row>
    <row r="24" ht="18" customHeight="1">
      <c r="A24" s="8">
        <f>IF(A23="","",IF(MONTH(A23+1)=MONTH($B$3),A23+1,""))</f>
        <v/>
      </c>
      <c r="B24" s="9">
        <f>IF(A24="","",CHOOSE(WEEKDAY(A24,2),"Pazartesi","Salı","Çarşamba","Perşembe","Cuma","Cumartesi","Pazar"))</f>
        <v/>
      </c>
      <c r="C24" s="10" t="n"/>
      <c r="D24" s="10" t="n"/>
      <c r="E24" s="10" t="n"/>
      <c r="F24" s="11" t="n"/>
      <c r="G24" s="10" t="n"/>
      <c r="H24">
        <f>IF(A24="","",IF(OR(WEEKDAY(A24,2)&gt;5,F24&lt;&gt;""),1,0))</f>
        <v/>
      </c>
    </row>
    <row r="25" ht="18" customHeight="1">
      <c r="A25" s="8">
        <f>IF(A24="","",IF(MONTH(A24+1)=MONTH($B$3),A24+1,""))</f>
        <v/>
      </c>
      <c r="B25" s="9">
        <f>IF(A25="","",CHOOSE(WEEKDAY(A25,2),"Pazartesi","Salı","Çarşamba","Perşembe","Cuma","Cumartesi","Pazar"))</f>
        <v/>
      </c>
      <c r="C25" s="10" t="n"/>
      <c r="D25" s="10" t="n"/>
      <c r="E25" s="10" t="n"/>
      <c r="F25" s="11" t="n"/>
      <c r="G25" s="10" t="n"/>
      <c r="H25">
        <f>IF(A25="","",IF(OR(WEEKDAY(A25,2)&gt;5,F25&lt;&gt;""),1,0))</f>
        <v/>
      </c>
    </row>
    <row r="26" ht="18" customHeight="1">
      <c r="A26" s="8">
        <f>IF(A25="","",IF(MONTH(A25+1)=MONTH($B$3),A25+1,""))</f>
        <v/>
      </c>
      <c r="B26" s="9">
        <f>IF(A26="","",CHOOSE(WEEKDAY(A26,2),"Pazartesi","Salı","Çarşamba","Perşembe","Cuma","Cumartesi","Pazar"))</f>
        <v/>
      </c>
      <c r="C26" s="10" t="n"/>
      <c r="D26" s="10" t="n"/>
      <c r="E26" s="10" t="n"/>
      <c r="F26" s="11" t="n"/>
      <c r="G26" s="10" t="n"/>
      <c r="H26">
        <f>IF(A26="","",IF(OR(WEEKDAY(A26,2)&gt;5,F26&lt;&gt;""),1,0))</f>
        <v/>
      </c>
    </row>
    <row r="27" ht="18" customHeight="1">
      <c r="A27" s="8">
        <f>IF(A26="","",IF(MONTH(A26+1)=MONTH($B$3),A26+1,""))</f>
        <v/>
      </c>
      <c r="B27" s="9">
        <f>IF(A27="","",CHOOSE(WEEKDAY(A27,2),"Pazartesi","Salı","Çarşamba","Perşembe","Cuma","Cumartesi","Pazar"))</f>
        <v/>
      </c>
      <c r="C27" s="10" t="n"/>
      <c r="D27" s="10" t="n"/>
      <c r="E27" s="10" t="n"/>
      <c r="F27" s="11" t="n"/>
      <c r="G27" s="10" t="n"/>
      <c r="H27">
        <f>IF(A27="","",IF(OR(WEEKDAY(A27,2)&gt;5,F27&lt;&gt;""),1,0))</f>
        <v/>
      </c>
    </row>
    <row r="28" ht="18" customHeight="1">
      <c r="A28" s="8">
        <f>IF(A27="","",IF(MONTH(A27+1)=MONTH($B$3),A27+1,""))</f>
        <v/>
      </c>
      <c r="B28" s="9">
        <f>IF(A28="","",CHOOSE(WEEKDAY(A28,2),"Pazartesi","Salı","Çarşamba","Perşembe","Cuma","Cumartesi","Pazar"))</f>
        <v/>
      </c>
      <c r="C28" s="10" t="n"/>
      <c r="D28" s="10" t="n"/>
      <c r="E28" s="10" t="n"/>
      <c r="F28" s="11" t="n"/>
      <c r="G28" s="10" t="n"/>
      <c r="H28">
        <f>IF(A28="","",IF(OR(WEEKDAY(A28,2)&gt;5,F28&lt;&gt;""),1,0))</f>
        <v/>
      </c>
    </row>
    <row r="29" ht="18" customHeight="1">
      <c r="A29" s="8">
        <f>IF(A28="","",IF(MONTH(A28+1)=MONTH($B$3),A28+1,""))</f>
        <v/>
      </c>
      <c r="B29" s="9">
        <f>IF(A29="","",CHOOSE(WEEKDAY(A29,2),"Pazartesi","Salı","Çarşamba","Perşembe","Cuma","Cumartesi","Pazar"))</f>
        <v/>
      </c>
      <c r="C29" s="10" t="n"/>
      <c r="D29" s="10" t="n"/>
      <c r="E29" s="10" t="n"/>
      <c r="F29" s="11" t="n"/>
      <c r="G29" s="10" t="n"/>
      <c r="H29">
        <f>IF(A29="","",IF(OR(WEEKDAY(A29,2)&gt;5,F29&lt;&gt;""),1,0))</f>
        <v/>
      </c>
    </row>
    <row r="30" ht="18" customHeight="1">
      <c r="A30" s="8">
        <f>IF(A29="","",IF(MONTH(A29+1)=MONTH($B$3),A29+1,""))</f>
        <v/>
      </c>
      <c r="B30" s="9">
        <f>IF(A30="","",CHOOSE(WEEKDAY(A30,2),"Pazartesi","Salı","Çarşamba","Perşembe","Cuma","Cumartesi","Pazar"))</f>
        <v/>
      </c>
      <c r="C30" s="10" t="n"/>
      <c r="D30" s="10" t="n"/>
      <c r="E30" s="10" t="n"/>
      <c r="F30" s="11" t="n"/>
      <c r="G30" s="10" t="n"/>
      <c r="H30">
        <f>IF(A30="","",IF(OR(WEEKDAY(A30,2)&gt;5,F30&lt;&gt;""),1,0))</f>
        <v/>
      </c>
    </row>
    <row r="31" ht="18" customHeight="1">
      <c r="A31" s="8">
        <f>IF(A30="","",IF(MONTH(A30+1)=MONTH($B$3),A30+1,""))</f>
        <v/>
      </c>
      <c r="B31" s="9">
        <f>IF(A31="","",CHOOSE(WEEKDAY(A31,2),"Pazartesi","Salı","Çarşamba","Perşembe","Cuma","Cumartesi","Pazar"))</f>
        <v/>
      </c>
      <c r="C31" s="10" t="n"/>
      <c r="D31" s="10" t="n"/>
      <c r="E31" s="10" t="n"/>
      <c r="F31" s="11" t="n"/>
      <c r="G31" s="10" t="n"/>
      <c r="H31">
        <f>IF(A31="","",IF(OR(WEEKDAY(A31,2)&gt;5,F31&lt;&gt;""),1,0))</f>
        <v/>
      </c>
    </row>
    <row r="32" ht="18" customHeight="1">
      <c r="A32" s="8">
        <f>IF(A31="","",IF(MONTH(A31+1)=MONTH($B$3),A31+1,""))</f>
        <v/>
      </c>
      <c r="B32" s="9">
        <f>IF(A32="","",CHOOSE(WEEKDAY(A32,2),"Pazartesi","Salı","Çarşamba","Perşembe","Cuma","Cumartesi","Pazar"))</f>
        <v/>
      </c>
      <c r="C32" s="10" t="n"/>
      <c r="D32" s="10" t="n"/>
      <c r="E32" s="10" t="n"/>
      <c r="F32" s="11" t="n"/>
      <c r="G32" s="10" t="n"/>
      <c r="H32">
        <f>IF(A32="","",IF(OR(WEEKDAY(A32,2)&gt;5,F32&lt;&gt;""),1,0))</f>
        <v/>
      </c>
    </row>
    <row r="33" ht="18" customHeight="1">
      <c r="A33" s="8">
        <f>IF(A32="","",IF(MONTH(A32+1)=MONTH($B$3),A32+1,""))</f>
        <v/>
      </c>
      <c r="B33" s="9">
        <f>IF(A33="","",CHOOSE(WEEKDAY(A33,2),"Pazartesi","Salı","Çarşamba","Perşembe","Cuma","Cumartesi","Pazar"))</f>
        <v/>
      </c>
      <c r="C33" s="10" t="n"/>
      <c r="D33" s="10" t="n"/>
      <c r="E33" s="10" t="n"/>
      <c r="F33" s="11" t="n"/>
      <c r="G33" s="10" t="n"/>
      <c r="H33">
        <f>IF(A33="","",IF(OR(WEEKDAY(A33,2)&gt;5,F33&lt;&gt;""),1,0))</f>
        <v/>
      </c>
    </row>
    <row r="34" ht="18" customHeight="1">
      <c r="A34" s="8">
        <f>IF(A33="","",IF(MONTH(A33+1)=MONTH($B$3),A33+1,""))</f>
        <v/>
      </c>
      <c r="B34" s="9">
        <f>IF(A34="","",CHOOSE(WEEKDAY(A34,2),"Pazartesi","Salı","Çarşamba","Perşembe","Cuma","Cumartesi","Pazar"))</f>
        <v/>
      </c>
      <c r="C34" s="10" t="n"/>
      <c r="D34" s="10" t="n"/>
      <c r="E34" s="10" t="n"/>
      <c r="F34" s="11" t="n"/>
      <c r="G34" s="10" t="n"/>
      <c r="H34">
        <f>IF(A34="","",IF(OR(WEEKDAY(A34,2)&gt;5,F34&lt;&gt;""),1,0))</f>
        <v/>
      </c>
    </row>
    <row r="35" ht="18" customHeight="1">
      <c r="A35" s="8">
        <f>IF(A34="","",IF(MONTH(A34+1)=MONTH($B$3),A34+1,""))</f>
        <v/>
      </c>
      <c r="B35" s="9">
        <f>IF(A35="","",CHOOSE(WEEKDAY(A35,2),"Pazartesi","Salı","Çarşamba","Perşembe","Cuma","Cumartesi","Pazar"))</f>
        <v/>
      </c>
      <c r="C35" s="10" t="n"/>
      <c r="D35" s="10" t="n"/>
      <c r="E35" s="10" t="n"/>
      <c r="F35" s="11" t="n"/>
      <c r="G35" s="10" t="n"/>
      <c r="H35">
        <f>IF(A35="","",IF(OR(WEEKDAY(A35,2)&gt;5,F35&lt;&gt;""),1,0))</f>
        <v/>
      </c>
    </row>
    <row r="36" ht="18" customHeight="1">
      <c r="A36" s="8">
        <f>IF(A35="","",IF(MONTH(A35+1)=MONTH($B$3),A35+1,""))</f>
        <v/>
      </c>
      <c r="B36" s="9">
        <f>IF(A36="","",CHOOSE(WEEKDAY(A36,2),"Pazartesi","Salı","Çarşamba","Perşembe","Cuma","Cumartesi","Pazar"))</f>
        <v/>
      </c>
      <c r="C36" s="10" t="n"/>
      <c r="D36" s="10" t="n"/>
      <c r="E36" s="10" t="n"/>
      <c r="F36" s="11" t="n"/>
      <c r="G36" s="10" t="n"/>
      <c r="H36">
        <f>IF(A36="","",IF(OR(WEEKDAY(A36,2)&gt;5,F36&lt;&gt;""),1,0))</f>
        <v/>
      </c>
    </row>
    <row r="37" ht="18" customHeight="1">
      <c r="A37" s="8">
        <f>IF(A36="","",IF(MONTH(A36+1)=MONTH($B$3),A36+1,""))</f>
        <v/>
      </c>
      <c r="B37" s="9">
        <f>IF(A37="","",CHOOSE(WEEKDAY(A37,2),"Pazartesi","Salı","Çarşamba","Perşembe","Cuma","Cumartesi","Pazar"))</f>
        <v/>
      </c>
      <c r="C37" s="10" t="n"/>
      <c r="D37" s="10" t="n"/>
      <c r="E37" s="10" t="n"/>
      <c r="F37" s="11" t="n"/>
      <c r="G37" s="10" t="n"/>
      <c r="H37">
        <f>IF(A37="","",IF(OR(WEEKDAY(A37,2)&gt;5,F37&lt;&gt;""),1,0))</f>
        <v/>
      </c>
    </row>
  </sheetData>
  <mergeCells count="4">
    <mergeCell ref="C3:E3"/>
    <mergeCell ref="A1:G1"/>
    <mergeCell ref="B2:E2"/>
    <mergeCell ref="A4:G4"/>
  </mergeCells>
  <conditionalFormatting sqref="A7:G37">
    <cfRule type="expression" priority="1" dxfId="0">
      <formula>$H7=1</formula>
    </cfRule>
  </conditionalFormatting>
  <dataValidations count="1">
    <dataValidation sqref="C7:E37" showDropDown="0" showInputMessage="0" showErrorMessage="0" allowBlank="1" errorTitle="Listede olmayan ad" error="Önce Personel sayfasına ekleyin." type="list">
      <formula1>=Personel!$A$5:$A$24</formula1>
    </dataValidation>
  </dataValidations>
  <pageMargins left="0.5" right="0.5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10" customWidth="1" min="4" max="4"/>
    <col width="12" customWidth="1" min="5" max="5"/>
  </cols>
  <sheetData>
    <row r="1" ht="26" customHeight="1">
      <c r="A1" s="1" t="inlineStr">
        <is>
          <t>PERSONEL VE NÖBET SAYILARI</t>
        </is>
      </c>
    </row>
    <row r="2" ht="28" customHeight="1">
      <c r="A2" s="6" t="inlineStr">
        <is>
          <t>A sütununa adları yazın (en fazla 20 kişi). Sayılar Çizelge sayfasından kendiliğinden hesaplanır; “Kişi 1–3” örnektir.</t>
        </is>
      </c>
    </row>
    <row r="4">
      <c r="A4" s="7" t="inlineStr">
        <is>
          <t>Ad soyad</t>
        </is>
      </c>
      <c r="B4" s="7" t="inlineStr">
        <is>
          <t>Nöbet</t>
        </is>
      </c>
      <c r="C4" s="7" t="inlineStr">
        <is>
          <t>Hafta sonu / tatil</t>
        </is>
      </c>
      <c r="D4" s="7" t="inlineStr">
        <is>
          <t>İcap</t>
        </is>
      </c>
      <c r="E4" s="7" t="inlineStr">
        <is>
          <t>Toplam</t>
        </is>
      </c>
    </row>
    <row r="5">
      <c r="A5" s="10" t="inlineStr">
        <is>
          <t>Kişi 1</t>
        </is>
      </c>
      <c r="B5" s="9">
        <f>IF(A5="","",COUNTIF('Çizelge'!$C$7:$D$37,A5))</f>
        <v/>
      </c>
      <c r="C5" s="9">
        <f>IF(A5="","",COUNTIFS('Çizelge'!$C$7:$C$37,A5,'Çizelge'!$H$7:$H$37,1)+COUNTIFS('Çizelge'!$D$7:$D$37,A5,'Çizelge'!$H$7:$H$37,1))</f>
        <v/>
      </c>
      <c r="D5" s="9">
        <f>IF(A5="","",COUNTIF('Çizelge'!$E$7:$E$37,A5))</f>
        <v/>
      </c>
      <c r="E5" s="12">
        <f>IF(A5="","",B5+D5)</f>
        <v/>
      </c>
    </row>
    <row r="6">
      <c r="A6" s="10" t="inlineStr">
        <is>
          <t>Kişi 2</t>
        </is>
      </c>
      <c r="B6" s="9">
        <f>IF(A6="","",COUNTIF('Çizelge'!$C$7:$D$37,A6))</f>
        <v/>
      </c>
      <c r="C6" s="9">
        <f>IF(A6="","",COUNTIFS('Çizelge'!$C$7:$C$37,A6,'Çizelge'!$H$7:$H$37,1)+COUNTIFS('Çizelge'!$D$7:$D$37,A6,'Çizelge'!$H$7:$H$37,1))</f>
        <v/>
      </c>
      <c r="D6" s="9">
        <f>IF(A6="","",COUNTIF('Çizelge'!$E$7:$E$37,A6))</f>
        <v/>
      </c>
      <c r="E6" s="12">
        <f>IF(A6="","",B6+D6)</f>
        <v/>
      </c>
    </row>
    <row r="7">
      <c r="A7" s="10" t="inlineStr">
        <is>
          <t>Kişi 3</t>
        </is>
      </c>
      <c r="B7" s="9">
        <f>IF(A7="","",COUNTIF('Çizelge'!$C$7:$D$37,A7))</f>
        <v/>
      </c>
      <c r="C7" s="9">
        <f>IF(A7="","",COUNTIFS('Çizelge'!$C$7:$C$37,A7,'Çizelge'!$H$7:$H$37,1)+COUNTIFS('Çizelge'!$D$7:$D$37,A7,'Çizelge'!$H$7:$H$37,1))</f>
        <v/>
      </c>
      <c r="D7" s="9">
        <f>IF(A7="","",COUNTIF('Çizelge'!$E$7:$E$37,A7))</f>
        <v/>
      </c>
      <c r="E7" s="12">
        <f>IF(A7="","",B7+D7)</f>
        <v/>
      </c>
    </row>
    <row r="8">
      <c r="A8" s="10" t="n"/>
      <c r="B8" s="9">
        <f>IF(A8="","",COUNTIF('Çizelge'!$C$7:$D$37,A8))</f>
        <v/>
      </c>
      <c r="C8" s="9">
        <f>IF(A8="","",COUNTIFS('Çizelge'!$C$7:$C$37,A8,'Çizelge'!$H$7:$H$37,1)+COUNTIFS('Çizelge'!$D$7:$D$37,A8,'Çizelge'!$H$7:$H$37,1))</f>
        <v/>
      </c>
      <c r="D8" s="9">
        <f>IF(A8="","",COUNTIF('Çizelge'!$E$7:$E$37,A8))</f>
        <v/>
      </c>
      <c r="E8" s="12">
        <f>IF(A8="","",B8+D8)</f>
        <v/>
      </c>
    </row>
    <row r="9">
      <c r="A9" s="10" t="n"/>
      <c r="B9" s="9">
        <f>IF(A9="","",COUNTIF('Çizelge'!$C$7:$D$37,A9))</f>
        <v/>
      </c>
      <c r="C9" s="9">
        <f>IF(A9="","",COUNTIFS('Çizelge'!$C$7:$C$37,A9,'Çizelge'!$H$7:$H$37,1)+COUNTIFS('Çizelge'!$D$7:$D$37,A9,'Çizelge'!$H$7:$H$37,1))</f>
        <v/>
      </c>
      <c r="D9" s="9">
        <f>IF(A9="","",COUNTIF('Çizelge'!$E$7:$E$37,A9))</f>
        <v/>
      </c>
      <c r="E9" s="12">
        <f>IF(A9="","",B9+D9)</f>
        <v/>
      </c>
    </row>
    <row r="10">
      <c r="A10" s="10" t="n"/>
      <c r="B10" s="9">
        <f>IF(A10="","",COUNTIF('Çizelge'!$C$7:$D$37,A10))</f>
        <v/>
      </c>
      <c r="C10" s="9">
        <f>IF(A10="","",COUNTIFS('Çizelge'!$C$7:$C$37,A10,'Çizelge'!$H$7:$H$37,1)+COUNTIFS('Çizelge'!$D$7:$D$37,A10,'Çizelge'!$H$7:$H$37,1))</f>
        <v/>
      </c>
      <c r="D10" s="9">
        <f>IF(A10="","",COUNTIF('Çizelge'!$E$7:$E$37,A10))</f>
        <v/>
      </c>
      <c r="E10" s="12">
        <f>IF(A10="","",B10+D10)</f>
        <v/>
      </c>
    </row>
    <row r="11">
      <c r="A11" s="10" t="n"/>
      <c r="B11" s="9">
        <f>IF(A11="","",COUNTIF('Çizelge'!$C$7:$D$37,A11))</f>
        <v/>
      </c>
      <c r="C11" s="9">
        <f>IF(A11="","",COUNTIFS('Çizelge'!$C$7:$C$37,A11,'Çizelge'!$H$7:$H$37,1)+COUNTIFS('Çizelge'!$D$7:$D$37,A11,'Çizelge'!$H$7:$H$37,1))</f>
        <v/>
      </c>
      <c r="D11" s="9">
        <f>IF(A11="","",COUNTIF('Çizelge'!$E$7:$E$37,A11))</f>
        <v/>
      </c>
      <c r="E11" s="12">
        <f>IF(A11="","",B11+D11)</f>
        <v/>
      </c>
    </row>
    <row r="12">
      <c r="A12" s="10" t="n"/>
      <c r="B12" s="9">
        <f>IF(A12="","",COUNTIF('Çizelge'!$C$7:$D$37,A12))</f>
        <v/>
      </c>
      <c r="C12" s="9">
        <f>IF(A12="","",COUNTIFS('Çizelge'!$C$7:$C$37,A12,'Çizelge'!$H$7:$H$37,1)+COUNTIFS('Çizelge'!$D$7:$D$37,A12,'Çizelge'!$H$7:$H$37,1))</f>
        <v/>
      </c>
      <c r="D12" s="9">
        <f>IF(A12="","",COUNTIF('Çizelge'!$E$7:$E$37,A12))</f>
        <v/>
      </c>
      <c r="E12" s="12">
        <f>IF(A12="","",B12+D12)</f>
        <v/>
      </c>
    </row>
    <row r="13">
      <c r="A13" s="10" t="n"/>
      <c r="B13" s="9">
        <f>IF(A13="","",COUNTIF('Çizelge'!$C$7:$D$37,A13))</f>
        <v/>
      </c>
      <c r="C13" s="9">
        <f>IF(A13="","",COUNTIFS('Çizelge'!$C$7:$C$37,A13,'Çizelge'!$H$7:$H$37,1)+COUNTIFS('Çizelge'!$D$7:$D$37,A13,'Çizelge'!$H$7:$H$37,1))</f>
        <v/>
      </c>
      <c r="D13" s="9">
        <f>IF(A13="","",COUNTIF('Çizelge'!$E$7:$E$37,A13))</f>
        <v/>
      </c>
      <c r="E13" s="12">
        <f>IF(A13="","",B13+D13)</f>
        <v/>
      </c>
    </row>
    <row r="14">
      <c r="A14" s="10" t="n"/>
      <c r="B14" s="9">
        <f>IF(A14="","",COUNTIF('Çizelge'!$C$7:$D$37,A14))</f>
        <v/>
      </c>
      <c r="C14" s="9">
        <f>IF(A14="","",COUNTIFS('Çizelge'!$C$7:$C$37,A14,'Çizelge'!$H$7:$H$37,1)+COUNTIFS('Çizelge'!$D$7:$D$37,A14,'Çizelge'!$H$7:$H$37,1))</f>
        <v/>
      </c>
      <c r="D14" s="9">
        <f>IF(A14="","",COUNTIF('Çizelge'!$E$7:$E$37,A14))</f>
        <v/>
      </c>
      <c r="E14" s="12">
        <f>IF(A14="","",B14+D14)</f>
        <v/>
      </c>
    </row>
    <row r="15">
      <c r="A15" s="10" t="n"/>
      <c r="B15" s="9">
        <f>IF(A15="","",COUNTIF('Çizelge'!$C$7:$D$37,A15))</f>
        <v/>
      </c>
      <c r="C15" s="9">
        <f>IF(A15="","",COUNTIFS('Çizelge'!$C$7:$C$37,A15,'Çizelge'!$H$7:$H$37,1)+COUNTIFS('Çizelge'!$D$7:$D$37,A15,'Çizelge'!$H$7:$H$37,1))</f>
        <v/>
      </c>
      <c r="D15" s="9">
        <f>IF(A15="","",COUNTIF('Çizelge'!$E$7:$E$37,A15))</f>
        <v/>
      </c>
      <c r="E15" s="12">
        <f>IF(A15="","",B15+D15)</f>
        <v/>
      </c>
    </row>
    <row r="16">
      <c r="A16" s="10" t="n"/>
      <c r="B16" s="9">
        <f>IF(A16="","",COUNTIF('Çizelge'!$C$7:$D$37,A16))</f>
        <v/>
      </c>
      <c r="C16" s="9">
        <f>IF(A16="","",COUNTIFS('Çizelge'!$C$7:$C$37,A16,'Çizelge'!$H$7:$H$37,1)+COUNTIFS('Çizelge'!$D$7:$D$37,A16,'Çizelge'!$H$7:$H$37,1))</f>
        <v/>
      </c>
      <c r="D16" s="9">
        <f>IF(A16="","",COUNTIF('Çizelge'!$E$7:$E$37,A16))</f>
        <v/>
      </c>
      <c r="E16" s="12">
        <f>IF(A16="","",B16+D16)</f>
        <v/>
      </c>
    </row>
    <row r="17">
      <c r="A17" s="10" t="n"/>
      <c r="B17" s="9">
        <f>IF(A17="","",COUNTIF('Çizelge'!$C$7:$D$37,A17))</f>
        <v/>
      </c>
      <c r="C17" s="9">
        <f>IF(A17="","",COUNTIFS('Çizelge'!$C$7:$C$37,A17,'Çizelge'!$H$7:$H$37,1)+COUNTIFS('Çizelge'!$D$7:$D$37,A17,'Çizelge'!$H$7:$H$37,1))</f>
        <v/>
      </c>
      <c r="D17" s="9">
        <f>IF(A17="","",COUNTIF('Çizelge'!$E$7:$E$37,A17))</f>
        <v/>
      </c>
      <c r="E17" s="12">
        <f>IF(A17="","",B17+D17)</f>
        <v/>
      </c>
    </row>
    <row r="18">
      <c r="A18" s="10" t="n"/>
      <c r="B18" s="9">
        <f>IF(A18="","",COUNTIF('Çizelge'!$C$7:$D$37,A18))</f>
        <v/>
      </c>
      <c r="C18" s="9">
        <f>IF(A18="","",COUNTIFS('Çizelge'!$C$7:$C$37,A18,'Çizelge'!$H$7:$H$37,1)+COUNTIFS('Çizelge'!$D$7:$D$37,A18,'Çizelge'!$H$7:$H$37,1))</f>
        <v/>
      </c>
      <c r="D18" s="9">
        <f>IF(A18="","",COUNTIF('Çizelge'!$E$7:$E$37,A18))</f>
        <v/>
      </c>
      <c r="E18" s="12">
        <f>IF(A18="","",B18+D18)</f>
        <v/>
      </c>
    </row>
    <row r="19">
      <c r="A19" s="10" t="n"/>
      <c r="B19" s="9">
        <f>IF(A19="","",COUNTIF('Çizelge'!$C$7:$D$37,A19))</f>
        <v/>
      </c>
      <c r="C19" s="9">
        <f>IF(A19="","",COUNTIFS('Çizelge'!$C$7:$C$37,A19,'Çizelge'!$H$7:$H$37,1)+COUNTIFS('Çizelge'!$D$7:$D$37,A19,'Çizelge'!$H$7:$H$37,1))</f>
        <v/>
      </c>
      <c r="D19" s="9">
        <f>IF(A19="","",COUNTIF('Çizelge'!$E$7:$E$37,A19))</f>
        <v/>
      </c>
      <c r="E19" s="12">
        <f>IF(A19="","",B19+D19)</f>
        <v/>
      </c>
    </row>
    <row r="20">
      <c r="A20" s="10" t="n"/>
      <c r="B20" s="9">
        <f>IF(A20="","",COUNTIF('Çizelge'!$C$7:$D$37,A20))</f>
        <v/>
      </c>
      <c r="C20" s="9">
        <f>IF(A20="","",COUNTIFS('Çizelge'!$C$7:$C$37,A20,'Çizelge'!$H$7:$H$37,1)+COUNTIFS('Çizelge'!$D$7:$D$37,A20,'Çizelge'!$H$7:$H$37,1))</f>
        <v/>
      </c>
      <c r="D20" s="9">
        <f>IF(A20="","",COUNTIF('Çizelge'!$E$7:$E$37,A20))</f>
        <v/>
      </c>
      <c r="E20" s="12">
        <f>IF(A20="","",B20+D20)</f>
        <v/>
      </c>
    </row>
    <row r="21">
      <c r="A21" s="10" t="n"/>
      <c r="B21" s="9">
        <f>IF(A21="","",COUNTIF('Çizelge'!$C$7:$D$37,A21))</f>
        <v/>
      </c>
      <c r="C21" s="9">
        <f>IF(A21="","",COUNTIFS('Çizelge'!$C$7:$C$37,A21,'Çizelge'!$H$7:$H$37,1)+COUNTIFS('Çizelge'!$D$7:$D$37,A21,'Çizelge'!$H$7:$H$37,1))</f>
        <v/>
      </c>
      <c r="D21" s="9">
        <f>IF(A21="","",COUNTIF('Çizelge'!$E$7:$E$37,A21))</f>
        <v/>
      </c>
      <c r="E21" s="12">
        <f>IF(A21="","",B21+D21)</f>
        <v/>
      </c>
    </row>
    <row r="22">
      <c r="A22" s="10" t="n"/>
      <c r="B22" s="9">
        <f>IF(A22="","",COUNTIF('Çizelge'!$C$7:$D$37,A22))</f>
        <v/>
      </c>
      <c r="C22" s="9">
        <f>IF(A22="","",COUNTIFS('Çizelge'!$C$7:$C$37,A22,'Çizelge'!$H$7:$H$37,1)+COUNTIFS('Çizelge'!$D$7:$D$37,A22,'Çizelge'!$H$7:$H$37,1))</f>
        <v/>
      </c>
      <c r="D22" s="9">
        <f>IF(A22="","",COUNTIF('Çizelge'!$E$7:$E$37,A22))</f>
        <v/>
      </c>
      <c r="E22" s="12">
        <f>IF(A22="","",B22+D22)</f>
        <v/>
      </c>
    </row>
    <row r="23">
      <c r="A23" s="10" t="n"/>
      <c r="B23" s="9">
        <f>IF(A23="","",COUNTIF('Çizelge'!$C$7:$D$37,A23))</f>
        <v/>
      </c>
      <c r="C23" s="9">
        <f>IF(A23="","",COUNTIFS('Çizelge'!$C$7:$C$37,A23,'Çizelge'!$H$7:$H$37,1)+COUNTIFS('Çizelge'!$D$7:$D$37,A23,'Çizelge'!$H$7:$H$37,1))</f>
        <v/>
      </c>
      <c r="D23" s="9">
        <f>IF(A23="","",COUNTIF('Çizelge'!$E$7:$E$37,A23))</f>
        <v/>
      </c>
      <c r="E23" s="12">
        <f>IF(A23="","",B23+D23)</f>
        <v/>
      </c>
    </row>
    <row r="24">
      <c r="A24" s="10" t="n"/>
      <c r="B24" s="9">
        <f>IF(A24="","",COUNTIF('Çizelge'!$C$7:$D$37,A24))</f>
        <v/>
      </c>
      <c r="C24" s="9">
        <f>IF(A24="","",COUNTIFS('Çizelge'!$C$7:$C$37,A24,'Çizelge'!$H$7:$H$37,1)+COUNTIFS('Çizelge'!$D$7:$D$37,A24,'Çizelge'!$H$7:$H$37,1))</f>
        <v/>
      </c>
      <c r="D24" s="9">
        <f>IF(A24="","",COUNTIF('Çizelge'!$E$7:$E$37,A24))</f>
        <v/>
      </c>
      <c r="E24" s="12">
        <f>IF(A24="","",B24+D24)</f>
        <v/>
      </c>
    </row>
    <row r="26">
      <c r="A26" s="2" t="inlineStr">
        <is>
          <t>Toplam</t>
        </is>
      </c>
      <c r="B26" s="13">
        <f>SUM(B5:B24)</f>
        <v/>
      </c>
      <c r="C26" s="13">
        <f>SUM(C5:C24)</f>
        <v/>
      </c>
      <c r="D26" s="13">
        <f>SUM(D5:D24)</f>
        <v/>
      </c>
      <c r="E26" s="13">
        <f>SUM(E5:E24)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Ofisim</dc:creator>
  <dc:title xmlns:dc="http://purl.org/dc/elements/1.1/">Nöbet çizelgesi</dc:title>
  <dcterms:created xmlns:dcterms="http://purl.org/dc/terms/" xmlns:xsi="http://www.w3.org/2001/XMLSchema-instance" xsi:type="dcterms:W3CDTF">2026-10-14T02:14:57Z</dcterms:created>
  <dcterms:modified xmlns:dcterms="http://purl.org/dc/terms/" xmlns:xsi="http://www.w3.org/2001/XMLSchema-instance" xsi:type="dcterms:W3CDTF">2026-10-14T02:14:57Z</dcterms:modified>
</cp:coreProperties>
</file>